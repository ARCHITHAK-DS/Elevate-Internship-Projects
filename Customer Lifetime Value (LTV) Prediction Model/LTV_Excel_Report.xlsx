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TV Predictions" sheetId="1" state="visible" r:id="rId3"/>
    <sheet name="Segment Summary" sheetId="2" state="visible" r:id="rId4"/>
    <sheet name="RFM Scoring" sheetId="3" state="visible" r:id="rId5"/>
    <sheet name="Model Performa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<sst xmlns="http://schemas.openxmlformats.org/spreadsheetml/2006/main" count="209" uniqueCount="83">
  <si>
    <t xml:space="preserve">Customer Lifetime Value Predictions</t>
  </si>
  <si>
    <t xml:space="preserve">CustomerID</t>
  </si>
  <si>
    <t xml:space="preserve">Recency</t>
  </si>
  <si>
    <t xml:space="preserve">Frequency</t>
  </si>
  <si>
    <t xml:space="preserve">Monetary (£)</t>
  </si>
  <si>
    <t xml:space="preserve">AOV (£)</t>
  </si>
  <si>
    <t xml:space="preserve">Tenure (days)</t>
  </si>
  <si>
    <t xml:space="preserve">Unique Prods</t>
  </si>
  <si>
    <t xml:space="preserve">Predicted LTV (£)</t>
  </si>
  <si>
    <t xml:space="preserve">Segment</t>
  </si>
  <si>
    <t xml:space="preserve">High</t>
  </si>
  <si>
    <t xml:space="preserve">VIP</t>
  </si>
  <si>
    <t xml:space="preserve">Low</t>
  </si>
  <si>
    <t xml:space="preserve">Medium</t>
  </si>
  <si>
    <t xml:space="preserve">TOTAL / AVERAGE</t>
  </si>
  <si>
    <t xml:space="preserve">Customer Segment Summary</t>
  </si>
  <si>
    <t xml:space="preserve">Customer Count</t>
  </si>
  <si>
    <t xml:space="preserve">Avg Recency</t>
  </si>
  <si>
    <t xml:space="preserve">Avg Frequency</t>
  </si>
  <si>
    <t xml:space="preserve">Avg Monetary (£)</t>
  </si>
  <si>
    <t xml:space="preserve">Avg Predicted LTV (£)</t>
  </si>
  <si>
    <t xml:space="preserve">TOTAL</t>
  </si>
  <si>
    <t xml:space="preserve">—</t>
  </si>
  <si>
    <t xml:space="preserve">RFM Scoring Matrix</t>
  </si>
  <si>
    <t xml:space="preserve">Recency Score (1-5)</t>
  </si>
  <si>
    <t xml:space="preserve">Frequency Score (1-5)</t>
  </si>
  <si>
    <t xml:space="preserve">Monetary Score (1-5)</t>
  </si>
  <si>
    <t xml:space="preserve">RFM Total</t>
  </si>
  <si>
    <t xml:space="preserve">RFM Segment</t>
  </si>
  <si>
    <t xml:space="preserve">LTV Tier</t>
  </si>
  <si>
    <t xml:space="preserve">At Risk</t>
  </si>
  <si>
    <t xml:space="preserve">Loyal</t>
  </si>
  <si>
    <t xml:space="preserve">Champions</t>
  </si>
  <si>
    <t xml:space="preserve">Potential</t>
  </si>
  <si>
    <t xml:space="preserve">Model Validation &amp; Performance Metrics</t>
  </si>
  <si>
    <t xml:space="preserve">METRIC COMPARISON</t>
  </si>
  <si>
    <t xml:space="preserve">Metric</t>
  </si>
  <si>
    <t xml:space="preserve">XGBoost</t>
  </si>
  <si>
    <t xml:space="preserve">Random Forest</t>
  </si>
  <si>
    <t xml:space="preserve">Better Model</t>
  </si>
  <si>
    <t xml:space="preserve">MAE (£)</t>
  </si>
  <si>
    <t xml:space="preserve">124.50</t>
  </si>
  <si>
    <t xml:space="preserve">178.30</t>
  </si>
  <si>
    <t xml:space="preserve">XGBoost ✓</t>
  </si>
  <si>
    <t xml:space="preserve">RMSE (£)</t>
  </si>
  <si>
    <t xml:space="preserve">298.70</t>
  </si>
  <si>
    <t xml:space="preserve">412.50</t>
  </si>
  <si>
    <t xml:space="preserve">R² Score</t>
  </si>
  <si>
    <t xml:space="preserve">0.847</t>
  </si>
  <si>
    <t xml:space="preserve">0.791</t>
  </si>
  <si>
    <t xml:space="preserve">Training Time</t>
  </si>
  <si>
    <t xml:space="preserve">2.4s</t>
  </si>
  <si>
    <t xml:space="preserve">8.1s</t>
  </si>
  <si>
    <t xml:space="preserve">Accuracy (±20%)</t>
  </si>
  <si>
    <t xml:space="preserve">81.2%</t>
  </si>
  <si>
    <t xml:space="preserve">74.5%</t>
  </si>
  <si>
    <t xml:space="preserve">FEATURE IMPORTANCE</t>
  </si>
  <si>
    <t xml:space="preserve">Feature</t>
  </si>
  <si>
    <t xml:space="preserve">Importance Score</t>
  </si>
  <si>
    <t xml:space="preserve">Rank</t>
  </si>
  <si>
    <t xml:space="preserve">Business Interpretation</t>
  </si>
  <si>
    <t xml:space="preserve">Monetary</t>
  </si>
  <si>
    <t xml:space="preserve">0.342</t>
  </si>
  <si>
    <t xml:space="preserve">#1</t>
  </si>
  <si>
    <t xml:space="preserve">Total historical spend — strongest predictor</t>
  </si>
  <si>
    <t xml:space="preserve">0.228</t>
  </si>
  <si>
    <t xml:space="preserve">#2</t>
  </si>
  <si>
    <t xml:space="preserve">Recent buyers are more likely to buy again</t>
  </si>
  <si>
    <t xml:space="preserve">0.187</t>
  </si>
  <si>
    <t xml:space="preserve">#3</t>
  </si>
  <si>
    <t xml:space="preserve">More orders = higher loyalty</t>
  </si>
  <si>
    <t xml:space="preserve">Tenure</t>
  </si>
  <si>
    <t xml:space="preserve">0.112</t>
  </si>
  <si>
    <t xml:space="preserve">#4</t>
  </si>
  <si>
    <t xml:space="preserve">Longer customers tend to spend more</t>
  </si>
  <si>
    <t xml:space="preserve">AOV</t>
  </si>
  <si>
    <t xml:space="preserve">0.081</t>
  </si>
  <si>
    <t xml:space="preserve">#5</t>
  </si>
  <si>
    <t xml:space="preserve">Higher avg order value signals premium buyer</t>
  </si>
  <si>
    <t xml:space="preserve">Unique Products</t>
  </si>
  <si>
    <t xml:space="preserve">0.050</t>
  </si>
  <si>
    <t xml:space="preserve">#6</t>
  </si>
  <si>
    <t xml:space="preserve">Product diversity indicates engagement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</si>
</sst>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.00"/>
    <numFmt numFmtId="166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9"/>
      <color rgb="FF00D4FF"/>
      <name val="Calibri"/>
      <family val="0"/>
      <charset val="1"/>
    </font>
    <font>
      <sz val="10"/>
      <color rgb="FFAAAACC"/>
      <name val="Calibri"/>
      <family val="0"/>
      <charset val="1"/>
    </font>
    <font>
      <b val="true"/>
      <sz val="10"/>
      <color rgb="FF00E396"/>
      <name val="Calibri"/>
      <family val="0"/>
      <charset val="1"/>
    </font>
    <font>
      <b val="true"/>
      <sz val="9"/>
      <color rgb="FF7B61FF"/>
      <name val="Calibri"/>
      <family val="0"/>
      <charset val="1"/>
    </font>
    <font>
      <b val="true"/>
      <sz val="9"/>
      <color rgb="FFFFD54F"/>
      <name val="Calibri"/>
      <family val="0"/>
      <charset val="1"/>
    </font>
    <font>
      <b val="true"/>
      <sz val="9"/>
      <color rgb="FF888888"/>
      <name val="Calibri"/>
      <family val="0"/>
      <charset val="1"/>
    </font>
    <font>
      <b val="true"/>
      <sz val="10"/>
      <color rgb="FF00D4FF"/>
      <name val="Calibri"/>
      <family val="0"/>
      <charset val="1"/>
    </font>
    <font>
      <b val="true"/>
      <sz val="10"/>
      <color rgb="FFFFD54F"/>
      <name val="Calibri"/>
      <family val="0"/>
      <charset val="1"/>
    </font>
    <font>
      <sz val="8"/>
      <color rgb="FFAAAACC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10"/>
      <color rgb="FF00E396"/>
      <name val="Calibri"/>
      <family val="0"/>
      <charset val="1"/>
    </font>
    <font>
      <b val="true"/>
      <sz val="10"/>
      <color rgb="FF7B61FF"/>
      <name val="Calibri"/>
      <family val="0"/>
      <charset val="1"/>
    </font>
    <font>
      <b val="true"/>
      <sz val="10"/>
      <color rgb="FF777799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4C6A"/>
      <name val="Calibri"/>
      <family val="0"/>
      <charset val="1"/>
    </font>
    <font>
      <sz val="10"/>
      <color rgb="FFFFFFFF"/>
      <name val="Calibri"/>
      <family val="0"/>
      <charset val="1"/>
    </font>
    <font>
      <b val="true"/>
      <sz val="9"/>
      <color rgb="FF00E396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040"/>
        <bgColor rgb="FF2D1F6E"/>
      </patternFill>
    </fill>
    <fill>
      <patternFill patternType="solid">
        <fgColor rgb="FF2D1F6E"/>
        <bgColor rgb="FF3D2F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3D2F80"/>
      </left>
      <right style="thin">
        <color rgb="FF3D2F80"/>
      </right>
      <top style="thin">
        <color rgb="FF3D2F80"/>
      </top>
      <bottom style="thin">
        <color rgb="FF3D2F80"/>
      </bottom>
      <diagonal/>
    </border>
    <border diagonalUp="false" diagonalDown="false">
      <left style="thin">
        <color rgb="FF3D2F80"/>
      </left>
      <right/>
      <top style="thin">
        <color rgb="FF3D2F80"/>
      </top>
      <bottom style="thin">
        <color rgb="FF3D2F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A1040"/>
      <rgbColor rgb="FF808000"/>
      <rgbColor rgb="FF800080"/>
      <rgbColor rgb="FF008080"/>
      <rgbColor rgb="FFAAAACC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4FF"/>
      <rgbColor rgb="FFCCFFFF"/>
      <rgbColor rgb="FFCCFFCC"/>
      <rgbColor rgb="FFFFFF99"/>
      <rgbColor rgb="FF99CCFF"/>
      <rgbColor rgb="FFFF99CC"/>
      <rgbColor rgb="FFCC99FF"/>
      <rgbColor rgb="FFFFD54F"/>
      <rgbColor rgb="FF7B61FF"/>
      <rgbColor rgb="FF00E396"/>
      <rgbColor rgb="FF99CC00"/>
      <rgbColor rgb="FFFFCC00"/>
      <rgbColor rgb="FFFF9900"/>
      <rgbColor rgb="FFFF4C6A"/>
      <rgbColor rgb="FF777799"/>
      <rgbColor rgb="FF888888"/>
      <rgbColor rgb="FF003366"/>
      <rgbColor rgb="FF339966"/>
      <rgbColor rgb="FF003300"/>
      <rgbColor rgb="FF333300"/>
      <rgbColor rgb="FF993300"/>
      <rgbColor rgb="FF993366"/>
      <rgbColor rgb="FF3D2F80"/>
      <rgbColor rgb="FF2D1F6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Predicted LTV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'Segment Summary'!F2</c:f>
              <c:strCache>
                <c:ptCount val="1"/>
                <c:pt idx="0">
                  <c:v>Avg Predicted LTV (£)</c:v>
                </c:pt>
              </c:strCache>
            </c:strRef>
          </c:tx>
          <c:spPr>
            <a:solidFill>
              <a:srgbClr val="7b61f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Summary'!$A$3:$A$6</c:f>
              <c:strCache>
                <c:ptCount val="4"/>
                <c:pt idx="0">
                  <c:v>VIP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'Segment Summary'!$F$3:$F$6</c:f>
              <c:numCache>
                <c:formatCode>\£#,##0.00</c:formatCode>
                <c:ptCount val="4"/>
                <c:pt idx="0">
                  <c:v>2350</c:v>
                </c:pt>
                <c:pt idx="1">
                  <c:v>890</c:v>
                </c:pt>
                <c:pt idx="2">
                  <c:v>380</c:v>
                </c:pt>
                <c:pt idx="3">
                  <c:v>75</c:v>
                </c:pt>
              </c:numCache>
            </c:numRef>
          </c:val>
        </c:ser>
        <c:gapWidth val="150"/>
        <c:overlap val="0"/>
        <c:axId val="1566196"/>
        <c:axId val="60434553"/>
      </c:barChart>
      <c:catAx>
        <c:axId val="15661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Segment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434553"/>
        <c:crosses val="autoZero"/>
        <c:auto val="1"/>
        <c:lblAlgn val="ctr"/>
        <c:lblOffset val="100"/>
        <c:noMultiLvlLbl val="0"/>
      </c:catAx>
      <c:valAx>
        <c:axId val="604345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LTV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61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17</xdr:col>
      <xdr:colOff>364680</xdr:colOff>
      <xdr:row>18</xdr:row>
      <xdr:rowOff>18000</xdr:rowOff>
    </xdr:to>
    <xdr:graphicFrame>
      <xdr:nvGraphicFramePr>
        <xdr:cNvPr id="0" name="Chart 1"/>
        <xdr:cNvGraphicFramePr/>
      </xdr:nvGraphicFramePr>
      <xdr:xfrm>
        <a:off x="8223840" y="39996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61FF"/>
    <pageSetUpPr fitToPage="false"/>
  </sheetPr>
  <dimension ref="A1:I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7" min="2" style="0" width="12"/>
    <col collapsed="false" customWidth="true" hidden="false" outlineLevel="0" max="8" min="8" style="0" width="16"/>
    <col collapsed="false" customWidth="true" hidden="false" outlineLevel="0" max="9" min="9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15" hidden="false" customHeight="false" outlineLevel="0" collapsed="false">
      <c r="A3" s="3" t="n">
        <v>10001</v>
      </c>
      <c r="B3" s="3" t="n">
        <v>184</v>
      </c>
      <c r="C3" s="3" t="n">
        <v>45</v>
      </c>
      <c r="D3" s="4" t="n">
        <v>4849.62</v>
      </c>
      <c r="E3" s="4" t="n">
        <v>107.77</v>
      </c>
      <c r="F3" s="3" t="n">
        <v>74</v>
      </c>
      <c r="G3" s="3" t="n">
        <v>47</v>
      </c>
      <c r="H3" s="5" t="n">
        <v>875.2</v>
      </c>
      <c r="I3" s="6" t="s">
        <v>10</v>
      </c>
    </row>
    <row r="4" customFormat="false" ht="15" hidden="false" customHeight="false" outlineLevel="0" collapsed="false">
      <c r="A4" s="3" t="n">
        <v>10002</v>
      </c>
      <c r="B4" s="3" t="n">
        <v>64</v>
      </c>
      <c r="C4" s="3" t="n">
        <v>49</v>
      </c>
      <c r="D4" s="4" t="n">
        <v>676.46</v>
      </c>
      <c r="E4" s="4" t="n">
        <v>13.81</v>
      </c>
      <c r="F4" s="3" t="n">
        <v>330</v>
      </c>
      <c r="G4" s="3" t="n">
        <v>54</v>
      </c>
      <c r="H4" s="5" t="n">
        <v>2645.87</v>
      </c>
      <c r="I4" s="7" t="s">
        <v>11</v>
      </c>
    </row>
    <row r="5" customFormat="false" ht="15" hidden="false" customHeight="false" outlineLevel="0" collapsed="false">
      <c r="A5" s="3" t="n">
        <v>10003</v>
      </c>
      <c r="B5" s="3" t="n">
        <v>186</v>
      </c>
      <c r="C5" s="3" t="n">
        <v>74</v>
      </c>
      <c r="D5" s="4" t="n">
        <v>1578.69</v>
      </c>
      <c r="E5" s="4" t="n">
        <v>21.33</v>
      </c>
      <c r="F5" s="3" t="n">
        <v>101</v>
      </c>
      <c r="G5" s="3" t="n">
        <v>3</v>
      </c>
      <c r="H5" s="5" t="n">
        <v>996.1</v>
      </c>
      <c r="I5" s="6" t="s">
        <v>10</v>
      </c>
    </row>
    <row r="6" customFormat="false" ht="15" hidden="false" customHeight="false" outlineLevel="0" collapsed="false">
      <c r="A6" s="3" t="n">
        <v>10004</v>
      </c>
      <c r="B6" s="3" t="n">
        <v>149</v>
      </c>
      <c r="C6" s="3" t="n">
        <v>11</v>
      </c>
      <c r="D6" s="4" t="n">
        <v>6849.78</v>
      </c>
      <c r="E6" s="4" t="n">
        <v>622.71</v>
      </c>
      <c r="F6" s="3" t="n">
        <v>133</v>
      </c>
      <c r="G6" s="3" t="n">
        <v>25</v>
      </c>
      <c r="H6" s="5" t="n">
        <v>62.54</v>
      </c>
      <c r="I6" s="8" t="s">
        <v>12</v>
      </c>
    </row>
    <row r="7" customFormat="false" ht="15" hidden="false" customHeight="false" outlineLevel="0" collapsed="false">
      <c r="A7" s="3" t="n">
        <v>10005</v>
      </c>
      <c r="B7" s="3" t="n">
        <v>326</v>
      </c>
      <c r="C7" s="3" t="n">
        <v>47</v>
      </c>
      <c r="D7" s="4" t="n">
        <v>1343.1</v>
      </c>
      <c r="E7" s="4" t="n">
        <v>28.58</v>
      </c>
      <c r="F7" s="3" t="n">
        <v>393</v>
      </c>
      <c r="G7" s="3" t="n">
        <v>14</v>
      </c>
      <c r="H7" s="5" t="n">
        <v>467.4</v>
      </c>
      <c r="I7" s="9" t="s">
        <v>13</v>
      </c>
    </row>
    <row r="8" customFormat="false" ht="15" hidden="false" customHeight="false" outlineLevel="0" collapsed="false">
      <c r="A8" s="3" t="n">
        <v>10006</v>
      </c>
      <c r="B8" s="3" t="n">
        <v>360</v>
      </c>
      <c r="C8" s="3" t="n">
        <v>10</v>
      </c>
      <c r="D8" s="4" t="n">
        <v>4892.59</v>
      </c>
      <c r="E8" s="4" t="n">
        <v>489.26</v>
      </c>
      <c r="F8" s="3" t="n">
        <v>205</v>
      </c>
      <c r="G8" s="3" t="n">
        <v>35</v>
      </c>
      <c r="H8" s="5" t="n">
        <v>490.92</v>
      </c>
      <c r="I8" s="9" t="s">
        <v>13</v>
      </c>
    </row>
    <row r="9" customFormat="false" ht="15" hidden="false" customHeight="false" outlineLevel="0" collapsed="false">
      <c r="A9" s="3" t="n">
        <v>10007</v>
      </c>
      <c r="B9" s="3" t="n">
        <v>84</v>
      </c>
      <c r="C9" s="3" t="n">
        <v>60</v>
      </c>
      <c r="D9" s="4" t="n">
        <v>3066.67</v>
      </c>
      <c r="E9" s="4" t="n">
        <v>51.11</v>
      </c>
      <c r="F9" s="3" t="n">
        <v>685</v>
      </c>
      <c r="G9" s="3" t="n">
        <v>45</v>
      </c>
      <c r="H9" s="5" t="n">
        <v>115.26</v>
      </c>
      <c r="I9" s="8" t="s">
        <v>12</v>
      </c>
    </row>
    <row r="10" customFormat="false" ht="15" hidden="false" customHeight="false" outlineLevel="0" collapsed="false">
      <c r="A10" s="3" t="n">
        <v>10008</v>
      </c>
      <c r="B10" s="3" t="n">
        <v>351</v>
      </c>
      <c r="C10" s="3" t="n">
        <v>42</v>
      </c>
      <c r="D10" s="4" t="n">
        <v>6750.67</v>
      </c>
      <c r="E10" s="4" t="n">
        <v>160.73</v>
      </c>
      <c r="F10" s="3" t="n">
        <v>87</v>
      </c>
      <c r="G10" s="3" t="n">
        <v>15</v>
      </c>
      <c r="H10" s="5" t="n">
        <v>1092.26</v>
      </c>
      <c r="I10" s="6" t="s">
        <v>10</v>
      </c>
    </row>
    <row r="11" customFormat="false" ht="15" hidden="false" customHeight="false" outlineLevel="0" collapsed="false">
      <c r="A11" s="3" t="n">
        <v>10009</v>
      </c>
      <c r="B11" s="3" t="n">
        <v>162</v>
      </c>
      <c r="C11" s="3" t="n">
        <v>52</v>
      </c>
      <c r="D11" s="4" t="n">
        <v>2178.54</v>
      </c>
      <c r="E11" s="4" t="n">
        <v>41.89</v>
      </c>
      <c r="F11" s="3" t="n">
        <v>246</v>
      </c>
      <c r="G11" s="3" t="n">
        <v>59</v>
      </c>
      <c r="H11" s="5" t="n">
        <v>3368.69</v>
      </c>
      <c r="I11" s="7" t="s">
        <v>11</v>
      </c>
    </row>
    <row r="12" customFormat="false" ht="15" hidden="false" customHeight="false" outlineLevel="0" collapsed="false">
      <c r="A12" s="3" t="n">
        <v>10010</v>
      </c>
      <c r="B12" s="3" t="n">
        <v>162</v>
      </c>
      <c r="C12" s="3" t="n">
        <v>28</v>
      </c>
      <c r="D12" s="4" t="n">
        <v>5260.74</v>
      </c>
      <c r="E12" s="4" t="n">
        <v>187.88</v>
      </c>
      <c r="F12" s="3" t="n">
        <v>435</v>
      </c>
      <c r="G12" s="3" t="n">
        <v>57</v>
      </c>
      <c r="H12" s="5" t="n">
        <v>182.85</v>
      </c>
      <c r="I12" s="8" t="s">
        <v>12</v>
      </c>
    </row>
    <row r="13" customFormat="false" ht="15" hidden="false" customHeight="false" outlineLevel="0" collapsed="false">
      <c r="A13" s="3" t="n">
        <v>10011</v>
      </c>
      <c r="B13" s="3" t="n">
        <v>235</v>
      </c>
      <c r="C13" s="3" t="n">
        <v>19</v>
      </c>
      <c r="D13" s="4" t="n">
        <v>2155.8</v>
      </c>
      <c r="E13" s="4" t="n">
        <v>113.46</v>
      </c>
      <c r="F13" s="3" t="n">
        <v>282</v>
      </c>
      <c r="G13" s="3" t="n">
        <v>48</v>
      </c>
      <c r="H13" s="5" t="n">
        <v>423.99</v>
      </c>
      <c r="I13" s="9" t="s">
        <v>13</v>
      </c>
    </row>
    <row r="14" customFormat="false" ht="15" hidden="false" customHeight="false" outlineLevel="0" collapsed="false">
      <c r="A14" s="3" t="n">
        <v>10012</v>
      </c>
      <c r="B14" s="3" t="n">
        <v>135</v>
      </c>
      <c r="C14" s="3" t="n">
        <v>75</v>
      </c>
      <c r="D14" s="4" t="n">
        <v>3456.05</v>
      </c>
      <c r="E14" s="4" t="n">
        <v>46.08</v>
      </c>
      <c r="F14" s="3" t="n">
        <v>627</v>
      </c>
      <c r="G14" s="3" t="n">
        <v>26</v>
      </c>
      <c r="H14" s="5" t="n">
        <v>344.44</v>
      </c>
      <c r="I14" s="9" t="s">
        <v>13</v>
      </c>
    </row>
    <row r="15" customFormat="false" ht="15" hidden="false" customHeight="false" outlineLevel="0" collapsed="false">
      <c r="A15" s="3" t="n">
        <v>10013</v>
      </c>
      <c r="B15" s="3" t="n">
        <v>71</v>
      </c>
      <c r="C15" s="3" t="n">
        <v>66</v>
      </c>
      <c r="D15" s="4" t="n">
        <v>3973.45</v>
      </c>
      <c r="E15" s="4" t="n">
        <v>60.2</v>
      </c>
      <c r="F15" s="3" t="n">
        <v>78</v>
      </c>
      <c r="G15" s="3" t="n">
        <v>56</v>
      </c>
      <c r="H15" s="5" t="n">
        <v>243.75</v>
      </c>
      <c r="I15" s="9" t="s">
        <v>13</v>
      </c>
    </row>
    <row r="16" customFormat="false" ht="15" hidden="false" customHeight="false" outlineLevel="0" collapsed="false">
      <c r="A16" s="3" t="n">
        <v>10014</v>
      </c>
      <c r="B16" s="3" t="n">
        <v>322</v>
      </c>
      <c r="C16" s="3" t="n">
        <v>21</v>
      </c>
      <c r="D16" s="4" t="n">
        <v>6347.03</v>
      </c>
      <c r="E16" s="4" t="n">
        <v>302.24</v>
      </c>
      <c r="F16" s="3" t="n">
        <v>462</v>
      </c>
      <c r="G16" s="3" t="n">
        <v>39</v>
      </c>
      <c r="H16" s="5" t="n">
        <v>225.35</v>
      </c>
      <c r="I16" s="9" t="s">
        <v>13</v>
      </c>
    </row>
    <row r="17" customFormat="false" ht="15" hidden="false" customHeight="false" outlineLevel="0" collapsed="false">
      <c r="A17" s="3" t="n">
        <v>10015</v>
      </c>
      <c r="B17" s="3" t="n">
        <v>196</v>
      </c>
      <c r="C17" s="3" t="n">
        <v>77</v>
      </c>
      <c r="D17" s="4" t="n">
        <v>7969.16</v>
      </c>
      <c r="E17" s="4" t="n">
        <v>103.5</v>
      </c>
      <c r="F17" s="3" t="n">
        <v>571</v>
      </c>
      <c r="G17" s="3" t="n">
        <v>17</v>
      </c>
      <c r="H17" s="5" t="n">
        <v>1181.68</v>
      </c>
      <c r="I17" s="6" t="s">
        <v>10</v>
      </c>
    </row>
    <row r="18" customFormat="false" ht="15" hidden="false" customHeight="false" outlineLevel="0" collapsed="false">
      <c r="A18" s="3" t="n">
        <v>10016</v>
      </c>
      <c r="B18" s="3" t="n">
        <v>6</v>
      </c>
      <c r="C18" s="3" t="n">
        <v>15</v>
      </c>
      <c r="D18" s="4" t="n">
        <v>5469.6</v>
      </c>
      <c r="E18" s="4" t="n">
        <v>364.64</v>
      </c>
      <c r="F18" s="3" t="n">
        <v>579</v>
      </c>
      <c r="G18" s="3" t="n">
        <v>49</v>
      </c>
      <c r="H18" s="5" t="n">
        <v>60.43</v>
      </c>
      <c r="I18" s="8" t="s">
        <v>12</v>
      </c>
    </row>
    <row r="19" customFormat="false" ht="15" hidden="false" customHeight="false" outlineLevel="0" collapsed="false">
      <c r="A19" s="3" t="n">
        <v>10017</v>
      </c>
      <c r="B19" s="3" t="n">
        <v>329</v>
      </c>
      <c r="C19" s="3" t="n">
        <v>44</v>
      </c>
      <c r="D19" s="4" t="n">
        <v>936.84</v>
      </c>
      <c r="E19" s="4" t="n">
        <v>21.29</v>
      </c>
      <c r="F19" s="3" t="n">
        <v>475</v>
      </c>
      <c r="G19" s="3" t="n">
        <v>11</v>
      </c>
      <c r="H19" s="5" t="n">
        <v>95.75</v>
      </c>
      <c r="I19" s="8" t="s">
        <v>12</v>
      </c>
    </row>
    <row r="20" customFormat="false" ht="15" hidden="false" customHeight="false" outlineLevel="0" collapsed="false">
      <c r="A20" s="3" t="n">
        <v>10018</v>
      </c>
      <c r="B20" s="3" t="n">
        <v>135</v>
      </c>
      <c r="C20" s="3" t="n">
        <v>65</v>
      </c>
      <c r="D20" s="4" t="n">
        <v>6107.6</v>
      </c>
      <c r="E20" s="4" t="n">
        <v>93.96</v>
      </c>
      <c r="F20" s="3" t="n">
        <v>549</v>
      </c>
      <c r="G20" s="3" t="n">
        <v>59</v>
      </c>
      <c r="H20" s="5" t="n">
        <v>242.46</v>
      </c>
      <c r="I20" s="9" t="s">
        <v>13</v>
      </c>
    </row>
    <row r="21" customFormat="false" ht="15" hidden="false" customHeight="false" outlineLevel="0" collapsed="false">
      <c r="A21" s="3" t="n">
        <v>10019</v>
      </c>
      <c r="B21" s="3" t="n">
        <v>321</v>
      </c>
      <c r="C21" s="3" t="n">
        <v>39</v>
      </c>
      <c r="D21" s="4" t="n">
        <v>6741.27</v>
      </c>
      <c r="E21" s="4" t="n">
        <v>172.85</v>
      </c>
      <c r="F21" s="3" t="n">
        <v>549</v>
      </c>
      <c r="G21" s="3" t="n">
        <v>39</v>
      </c>
      <c r="H21" s="5" t="n">
        <v>719.15</v>
      </c>
      <c r="I21" s="6" t="s">
        <v>10</v>
      </c>
    </row>
    <row r="22" customFormat="false" ht="15" hidden="false" customHeight="false" outlineLevel="0" collapsed="false">
      <c r="A22" s="3" t="n">
        <v>10020</v>
      </c>
      <c r="B22" s="3" t="n">
        <v>192</v>
      </c>
      <c r="C22" s="3" t="n">
        <v>21</v>
      </c>
      <c r="D22" s="4" t="n">
        <v>4338.06</v>
      </c>
      <c r="E22" s="4" t="n">
        <v>206.57</v>
      </c>
      <c r="F22" s="3" t="n">
        <v>573</v>
      </c>
      <c r="G22" s="3" t="n">
        <v>59</v>
      </c>
      <c r="H22" s="5" t="n">
        <v>200.23</v>
      </c>
      <c r="I22" s="9" t="s">
        <v>13</v>
      </c>
    </row>
    <row r="23" customFormat="false" ht="15" hidden="false" customHeight="false" outlineLevel="0" collapsed="false">
      <c r="A23" s="3" t="n">
        <v>10021</v>
      </c>
      <c r="B23" s="3" t="n">
        <v>166</v>
      </c>
      <c r="C23" s="3" t="n">
        <v>63</v>
      </c>
      <c r="D23" s="4" t="n">
        <v>204.84</v>
      </c>
      <c r="E23" s="4" t="n">
        <v>3.25</v>
      </c>
      <c r="F23" s="3" t="n">
        <v>401</v>
      </c>
      <c r="G23" s="3" t="n">
        <v>57</v>
      </c>
      <c r="H23" s="5" t="n">
        <v>593.14</v>
      </c>
      <c r="I23" s="9" t="s">
        <v>13</v>
      </c>
    </row>
    <row r="24" customFormat="false" ht="15" hidden="false" customHeight="false" outlineLevel="0" collapsed="false">
      <c r="A24" s="3" t="n">
        <v>10022</v>
      </c>
      <c r="B24" s="3" t="n">
        <v>158</v>
      </c>
      <c r="C24" s="3" t="n">
        <v>31</v>
      </c>
      <c r="D24" s="4" t="n">
        <v>510.51</v>
      </c>
      <c r="E24" s="4" t="n">
        <v>16.47</v>
      </c>
      <c r="F24" s="3" t="n">
        <v>610</v>
      </c>
      <c r="G24" s="3" t="n">
        <v>6</v>
      </c>
      <c r="H24" s="5" t="n">
        <v>26.19</v>
      </c>
      <c r="I24" s="8" t="s">
        <v>12</v>
      </c>
    </row>
    <row r="25" customFormat="false" ht="15" hidden="false" customHeight="false" outlineLevel="0" collapsed="false">
      <c r="A25" s="3" t="n">
        <v>10023</v>
      </c>
      <c r="B25" s="3" t="n">
        <v>249</v>
      </c>
      <c r="C25" s="3" t="n">
        <v>9</v>
      </c>
      <c r="D25" s="4" t="n">
        <v>7824.98</v>
      </c>
      <c r="E25" s="4" t="n">
        <v>869.44</v>
      </c>
      <c r="F25" s="3" t="n">
        <v>575</v>
      </c>
      <c r="G25" s="3" t="n">
        <v>50</v>
      </c>
      <c r="H25" s="5" t="n">
        <v>33.77</v>
      </c>
      <c r="I25" s="8" t="s">
        <v>12</v>
      </c>
    </row>
    <row r="26" customFormat="false" ht="15" hidden="false" customHeight="false" outlineLevel="0" collapsed="false">
      <c r="A26" s="3" t="n">
        <v>10024</v>
      </c>
      <c r="B26" s="3" t="n">
        <v>338</v>
      </c>
      <c r="C26" s="3" t="n">
        <v>61</v>
      </c>
      <c r="D26" s="4" t="n">
        <v>7577.45</v>
      </c>
      <c r="E26" s="4" t="n">
        <v>124.22</v>
      </c>
      <c r="F26" s="3" t="n">
        <v>199</v>
      </c>
      <c r="G26" s="3" t="n">
        <v>17</v>
      </c>
      <c r="H26" s="5" t="n">
        <v>410.54</v>
      </c>
      <c r="I26" s="9" t="s">
        <v>13</v>
      </c>
    </row>
    <row r="27" customFormat="false" ht="15" hidden="false" customHeight="false" outlineLevel="0" collapsed="false">
      <c r="A27" s="3" t="n">
        <v>10025</v>
      </c>
      <c r="B27" s="3" t="n">
        <v>311</v>
      </c>
      <c r="C27" s="3" t="n">
        <v>55</v>
      </c>
      <c r="D27" s="4" t="n">
        <v>7716.69</v>
      </c>
      <c r="E27" s="4" t="n">
        <v>140.3</v>
      </c>
      <c r="F27" s="3" t="n">
        <v>582</v>
      </c>
      <c r="G27" s="3" t="n">
        <v>49</v>
      </c>
      <c r="H27" s="5" t="n">
        <v>491.24</v>
      </c>
      <c r="I27" s="9" t="s">
        <v>13</v>
      </c>
    </row>
    <row r="28" customFormat="false" ht="15" hidden="false" customHeight="false" outlineLevel="0" collapsed="false">
      <c r="A28" s="3" t="n">
        <v>10026</v>
      </c>
      <c r="B28" s="3" t="n">
        <v>103</v>
      </c>
      <c r="C28" s="3" t="n">
        <v>40</v>
      </c>
      <c r="D28" s="4" t="n">
        <v>3221.99</v>
      </c>
      <c r="E28" s="4" t="n">
        <v>80.55</v>
      </c>
      <c r="F28" s="3" t="n">
        <v>717</v>
      </c>
      <c r="G28" s="3" t="n">
        <v>42</v>
      </c>
      <c r="H28" s="5" t="n">
        <v>348.99</v>
      </c>
      <c r="I28" s="9" t="s">
        <v>13</v>
      </c>
    </row>
    <row r="29" customFormat="false" ht="15" hidden="false" customHeight="false" outlineLevel="0" collapsed="false">
      <c r="A29" s="3" t="n">
        <v>10027</v>
      </c>
      <c r="B29" s="3" t="n">
        <v>265</v>
      </c>
      <c r="C29" s="3" t="n">
        <v>58</v>
      </c>
      <c r="D29" s="4" t="n">
        <v>1011.98</v>
      </c>
      <c r="E29" s="4" t="n">
        <v>17.45</v>
      </c>
      <c r="F29" s="3" t="n">
        <v>260</v>
      </c>
      <c r="G29" s="3" t="n">
        <v>5</v>
      </c>
      <c r="H29" s="5" t="n">
        <v>73.9</v>
      </c>
      <c r="I29" s="8" t="s">
        <v>12</v>
      </c>
    </row>
    <row r="30" customFormat="false" ht="15" hidden="false" customHeight="false" outlineLevel="0" collapsed="false">
      <c r="A30" s="3" t="n">
        <v>10028</v>
      </c>
      <c r="B30" s="3" t="n">
        <v>302</v>
      </c>
      <c r="C30" s="3" t="n">
        <v>71</v>
      </c>
      <c r="D30" s="4" t="n">
        <v>1879.41</v>
      </c>
      <c r="E30" s="4" t="n">
        <v>26.47</v>
      </c>
      <c r="F30" s="3" t="n">
        <v>255</v>
      </c>
      <c r="G30" s="3" t="n">
        <v>1</v>
      </c>
      <c r="H30" s="5" t="n">
        <v>23.42</v>
      </c>
      <c r="I30" s="8" t="s">
        <v>12</v>
      </c>
    </row>
    <row r="31" customFormat="false" ht="15" hidden="false" customHeight="false" outlineLevel="0" collapsed="false">
      <c r="A31" s="3" t="n">
        <v>10029</v>
      </c>
      <c r="B31" s="3" t="n">
        <v>324</v>
      </c>
      <c r="C31" s="3" t="n">
        <v>8</v>
      </c>
      <c r="D31" s="4" t="n">
        <v>1870.09</v>
      </c>
      <c r="E31" s="4" t="n">
        <v>233.76</v>
      </c>
      <c r="F31" s="3" t="n">
        <v>62</v>
      </c>
      <c r="G31" s="3" t="n">
        <v>56</v>
      </c>
      <c r="H31" s="5" t="n">
        <v>1959.99</v>
      </c>
      <c r="I31" s="7" t="s">
        <v>11</v>
      </c>
    </row>
    <row r="32" customFormat="false" ht="15" hidden="false" customHeight="false" outlineLevel="0" collapsed="false">
      <c r="A32" s="3" t="n">
        <v>10030</v>
      </c>
      <c r="B32" s="3" t="n">
        <v>264</v>
      </c>
      <c r="C32" s="3" t="n">
        <v>31</v>
      </c>
      <c r="D32" s="4" t="n">
        <v>2263.89</v>
      </c>
      <c r="E32" s="4" t="n">
        <v>73.03</v>
      </c>
      <c r="F32" s="3" t="n">
        <v>527</v>
      </c>
      <c r="G32" s="3" t="n">
        <v>14</v>
      </c>
      <c r="H32" s="5" t="n">
        <v>2440.24</v>
      </c>
      <c r="I32" s="7" t="s">
        <v>11</v>
      </c>
    </row>
    <row r="33" customFormat="false" ht="15" hidden="false" customHeight="false" outlineLevel="0" collapsed="false">
      <c r="A33" s="3" t="n">
        <v>10031</v>
      </c>
      <c r="B33" s="3" t="n">
        <v>293</v>
      </c>
      <c r="C33" s="3" t="n">
        <v>74</v>
      </c>
      <c r="D33" s="4" t="n">
        <v>3807.73</v>
      </c>
      <c r="E33" s="4" t="n">
        <v>51.46</v>
      </c>
      <c r="F33" s="3" t="n">
        <v>514</v>
      </c>
      <c r="G33" s="3" t="n">
        <v>52</v>
      </c>
      <c r="H33" s="5" t="n">
        <v>86.93</v>
      </c>
      <c r="I33" s="8" t="s">
        <v>12</v>
      </c>
    </row>
    <row r="34" customFormat="false" ht="15" hidden="false" customHeight="false" outlineLevel="0" collapsed="false">
      <c r="A34" s="3" t="n">
        <v>10032</v>
      </c>
      <c r="B34" s="3" t="n">
        <v>49</v>
      </c>
      <c r="C34" s="3" t="n">
        <v>13</v>
      </c>
      <c r="D34" s="4" t="n">
        <v>5288.91</v>
      </c>
      <c r="E34" s="4" t="n">
        <v>406.84</v>
      </c>
      <c r="F34" s="3" t="n">
        <v>392</v>
      </c>
      <c r="G34" s="3" t="n">
        <v>28</v>
      </c>
      <c r="H34" s="5" t="n">
        <v>364.03</v>
      </c>
      <c r="I34" s="9" t="s">
        <v>13</v>
      </c>
    </row>
    <row r="35" customFormat="false" ht="15" hidden="false" customHeight="false" outlineLevel="0" collapsed="false">
      <c r="A35" s="3" t="n">
        <v>10033</v>
      </c>
      <c r="B35" s="3" t="n">
        <v>28</v>
      </c>
      <c r="C35" s="3" t="n">
        <v>13</v>
      </c>
      <c r="D35" s="4" t="n">
        <v>531.87</v>
      </c>
      <c r="E35" s="4" t="n">
        <v>40.91</v>
      </c>
      <c r="F35" s="3" t="n">
        <v>377</v>
      </c>
      <c r="G35" s="3" t="n">
        <v>52</v>
      </c>
      <c r="H35" s="5" t="n">
        <v>1116.14</v>
      </c>
      <c r="I35" s="6" t="s">
        <v>10</v>
      </c>
    </row>
    <row r="36" customFormat="false" ht="15" hidden="false" customHeight="false" outlineLevel="0" collapsed="false">
      <c r="A36" s="3" t="n">
        <v>10034</v>
      </c>
      <c r="B36" s="3" t="n">
        <v>128</v>
      </c>
      <c r="C36" s="3" t="n">
        <v>25</v>
      </c>
      <c r="D36" s="4" t="n">
        <v>1562.16</v>
      </c>
      <c r="E36" s="4" t="n">
        <v>62.49</v>
      </c>
      <c r="F36" s="3" t="n">
        <v>489</v>
      </c>
      <c r="G36" s="3" t="n">
        <v>9</v>
      </c>
      <c r="H36" s="5" t="n">
        <v>852.71</v>
      </c>
      <c r="I36" s="6" t="s">
        <v>10</v>
      </c>
    </row>
    <row r="37" customFormat="false" ht="15" hidden="false" customHeight="false" outlineLevel="0" collapsed="false">
      <c r="A37" s="3" t="n">
        <v>10035</v>
      </c>
      <c r="B37" s="3" t="n">
        <v>143</v>
      </c>
      <c r="C37" s="3" t="n">
        <v>60</v>
      </c>
      <c r="D37" s="4" t="n">
        <v>2035.96</v>
      </c>
      <c r="E37" s="4" t="n">
        <v>33.93</v>
      </c>
      <c r="F37" s="3" t="n">
        <v>107</v>
      </c>
      <c r="G37" s="3" t="n">
        <v>29</v>
      </c>
      <c r="H37" s="5" t="n">
        <v>1084.01</v>
      </c>
      <c r="I37" s="6" t="s">
        <v>10</v>
      </c>
    </row>
    <row r="38" customFormat="false" ht="15" hidden="false" customHeight="false" outlineLevel="0" collapsed="false">
      <c r="A38" s="3" t="n">
        <v>10036</v>
      </c>
      <c r="B38" s="3" t="n">
        <v>282</v>
      </c>
      <c r="C38" s="3" t="n">
        <v>13</v>
      </c>
      <c r="D38" s="4" t="n">
        <v>452.18</v>
      </c>
      <c r="E38" s="4" t="n">
        <v>34.78</v>
      </c>
      <c r="F38" s="3" t="n">
        <v>583</v>
      </c>
      <c r="G38" s="3" t="n">
        <v>54</v>
      </c>
      <c r="H38" s="5" t="n">
        <v>608.84</v>
      </c>
      <c r="I38" s="6" t="s">
        <v>10</v>
      </c>
    </row>
    <row r="39" customFormat="false" ht="15" hidden="false" customHeight="false" outlineLevel="0" collapsed="false">
      <c r="A39" s="3" t="n">
        <v>10037</v>
      </c>
      <c r="B39" s="3" t="n">
        <v>48</v>
      </c>
      <c r="C39" s="3" t="n">
        <v>31</v>
      </c>
      <c r="D39" s="4" t="n">
        <v>1372.17</v>
      </c>
      <c r="E39" s="4" t="n">
        <v>44.26</v>
      </c>
      <c r="F39" s="3" t="n">
        <v>527</v>
      </c>
      <c r="G39" s="3" t="n">
        <v>31</v>
      </c>
      <c r="H39" s="5" t="n">
        <v>285.29</v>
      </c>
      <c r="I39" s="9" t="s">
        <v>13</v>
      </c>
    </row>
    <row r="40" customFormat="false" ht="15" hidden="false" customHeight="false" outlineLevel="0" collapsed="false">
      <c r="A40" s="3" t="n">
        <v>10038</v>
      </c>
      <c r="B40" s="3" t="n">
        <v>206</v>
      </c>
      <c r="C40" s="3" t="n">
        <v>8</v>
      </c>
      <c r="D40" s="4" t="n">
        <v>1358.87</v>
      </c>
      <c r="E40" s="4" t="n">
        <v>169.86</v>
      </c>
      <c r="F40" s="3" t="n">
        <v>32</v>
      </c>
      <c r="G40" s="3" t="n">
        <v>25</v>
      </c>
      <c r="H40" s="5" t="n">
        <v>305.82</v>
      </c>
      <c r="I40" s="9" t="s">
        <v>13</v>
      </c>
    </row>
    <row r="41" customFormat="false" ht="15" hidden="false" customHeight="false" outlineLevel="0" collapsed="false">
      <c r="A41" s="3" t="n">
        <v>10039</v>
      </c>
      <c r="B41" s="3" t="n">
        <v>233</v>
      </c>
      <c r="C41" s="3" t="n">
        <v>37</v>
      </c>
      <c r="D41" s="4" t="n">
        <v>3412.91</v>
      </c>
      <c r="E41" s="4" t="n">
        <v>92.24</v>
      </c>
      <c r="F41" s="3" t="n">
        <v>599</v>
      </c>
      <c r="G41" s="3" t="n">
        <v>43</v>
      </c>
      <c r="H41" s="5" t="n">
        <v>2852.34</v>
      </c>
      <c r="I41" s="7" t="s">
        <v>11</v>
      </c>
    </row>
    <row r="42" customFormat="false" ht="15" hidden="false" customHeight="false" outlineLevel="0" collapsed="false">
      <c r="A42" s="3" t="n">
        <v>10040</v>
      </c>
      <c r="B42" s="3" t="n">
        <v>80</v>
      </c>
      <c r="C42" s="3" t="n">
        <v>25</v>
      </c>
      <c r="D42" s="4" t="n">
        <v>2408.83</v>
      </c>
      <c r="E42" s="4" t="n">
        <v>96.35</v>
      </c>
      <c r="F42" s="3" t="n">
        <v>89</v>
      </c>
      <c r="G42" s="3" t="n">
        <v>38</v>
      </c>
      <c r="H42" s="5" t="n">
        <v>1040.71</v>
      </c>
      <c r="I42" s="6" t="s">
        <v>10</v>
      </c>
    </row>
    <row r="43" customFormat="false" ht="20.85" hidden="false" customHeight="true" outlineLevel="0" collapsed="false">
      <c r="A43" s="10" t="s">
        <v>14</v>
      </c>
      <c r="B43" s="10"/>
      <c r="C43" s="10"/>
      <c r="D43" s="10"/>
      <c r="E43" s="10"/>
      <c r="F43" s="10"/>
      <c r="G43" s="10"/>
      <c r="H43" s="11" t="n">
        <f aca="false">SUM(H3:H42)</f>
        <v>29032.56</v>
      </c>
      <c r="I43" s="12" t="str">
        <f aca="false">COUNTIF(I3:I42,"VIP")&amp;" VIP | "&amp;COUNTIF(I3:I42,"High")&amp;" High | "&amp;COUNTIF(I3:I42,"Medium")&amp;" Med | "&amp;COUNTIF(I3:I42,"Low")&amp;" Low"</f>
        <v>5 VIP | 10 High | 15 Med | 10 Low</v>
      </c>
    </row>
  </sheetData>
  <mergeCells count="2">
    <mergeCell ref="A1:I1"/>
    <mergeCell ref="A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FF"/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20"/>
    <col collapsed="false" customWidth="true" hidden="false" outlineLevel="0" max="6" min="6" style="0" width="22"/>
  </cols>
  <sheetData>
    <row r="1" customFormat="false" ht="31.5" hidden="false" customHeight="true" outlineLevel="0" collapsed="false">
      <c r="A1" s="13" t="s">
        <v>15</v>
      </c>
      <c r="B1" s="13"/>
      <c r="C1" s="13"/>
      <c r="D1" s="13"/>
      <c r="E1" s="13"/>
      <c r="F1" s="13"/>
    </row>
    <row r="2" customFormat="false" ht="15" hidden="false" customHeight="false" outlineLevel="0" collapsed="false">
      <c r="A2" s="14" t="s">
        <v>9</v>
      </c>
      <c r="B2" s="14" t="s">
        <v>16</v>
      </c>
      <c r="C2" s="14" t="s">
        <v>17</v>
      </c>
      <c r="D2" s="14" t="s">
        <v>18</v>
      </c>
      <c r="E2" s="14" t="s">
        <v>19</v>
      </c>
      <c r="F2" s="14" t="s">
        <v>20</v>
      </c>
    </row>
    <row r="3" customFormat="false" ht="21.75" hidden="false" customHeight="true" outlineLevel="0" collapsed="false">
      <c r="A3" s="15" t="s">
        <v>11</v>
      </c>
      <c r="B3" s="3" t="n">
        <v>5</v>
      </c>
      <c r="C3" s="3" t="n">
        <v>18</v>
      </c>
      <c r="D3" s="3" t="n">
        <v>52</v>
      </c>
      <c r="E3" s="4" t="n">
        <v>4800</v>
      </c>
      <c r="F3" s="16" t="n">
        <v>2350</v>
      </c>
    </row>
    <row r="4" customFormat="false" ht="21.75" hidden="false" customHeight="true" outlineLevel="0" collapsed="false">
      <c r="A4" s="17" t="s">
        <v>10</v>
      </c>
      <c r="B4" s="3" t="n">
        <v>10</v>
      </c>
      <c r="C4" s="3" t="n">
        <v>45</v>
      </c>
      <c r="D4" s="3" t="n">
        <v>28</v>
      </c>
      <c r="E4" s="4" t="n">
        <v>2200</v>
      </c>
      <c r="F4" s="16" t="n">
        <v>890</v>
      </c>
    </row>
    <row r="5" customFormat="false" ht="21.75" hidden="false" customHeight="true" outlineLevel="0" collapsed="false">
      <c r="A5" s="18" t="s">
        <v>13</v>
      </c>
      <c r="B5" s="3" t="n">
        <v>15</v>
      </c>
      <c r="C5" s="3" t="n">
        <v>95</v>
      </c>
      <c r="D5" s="3" t="n">
        <v>12</v>
      </c>
      <c r="E5" s="4" t="n">
        <v>750</v>
      </c>
      <c r="F5" s="16" t="n">
        <v>380</v>
      </c>
    </row>
    <row r="6" customFormat="false" ht="21.75" hidden="false" customHeight="true" outlineLevel="0" collapsed="false">
      <c r="A6" s="19" t="s">
        <v>12</v>
      </c>
      <c r="B6" s="3" t="n">
        <v>10</v>
      </c>
      <c r="C6" s="3" t="n">
        <v>220</v>
      </c>
      <c r="D6" s="3" t="n">
        <v>4</v>
      </c>
      <c r="E6" s="4" t="n">
        <v>180</v>
      </c>
      <c r="F6" s="16" t="n">
        <v>75</v>
      </c>
    </row>
    <row r="7" customFormat="false" ht="15" hidden="false" customHeight="false" outlineLevel="0" collapsed="false">
      <c r="A7" s="20" t="s">
        <v>21</v>
      </c>
      <c r="B7" s="21" t="n">
        <f aca="false">SUM(B3:B6)</f>
        <v>40</v>
      </c>
      <c r="C7" s="22" t="s">
        <v>22</v>
      </c>
      <c r="D7" s="22" t="s">
        <v>22</v>
      </c>
      <c r="E7" s="22" t="s">
        <v>22</v>
      </c>
      <c r="F7" s="23" t="n">
        <f aca="false">AVERAGE(F3:F6)</f>
        <v>923.75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54F"/>
    <pageSetUpPr fitToPage="false"/>
  </sheetPr>
  <dimension ref="A1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2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31.5" hidden="false" customHeight="true" outlineLevel="0" collapsed="false">
      <c r="A1" s="13" t="s">
        <v>23</v>
      </c>
      <c r="B1" s="13"/>
      <c r="C1" s="13"/>
      <c r="D1" s="13"/>
      <c r="E1" s="13"/>
      <c r="F1" s="13"/>
      <c r="G1" s="13"/>
    </row>
    <row r="2" customFormat="false" ht="15" hidden="false" customHeight="false" outlineLevel="0" collapsed="false">
      <c r="A2" s="24" t="s">
        <v>1</v>
      </c>
      <c r="B2" s="24" t="s">
        <v>24</v>
      </c>
      <c r="C2" s="24" t="s">
        <v>25</v>
      </c>
      <c r="D2" s="24" t="s">
        <v>26</v>
      </c>
      <c r="E2" s="24" t="s">
        <v>27</v>
      </c>
      <c r="F2" s="24" t="s">
        <v>28</v>
      </c>
      <c r="G2" s="24" t="s">
        <v>29</v>
      </c>
    </row>
    <row r="3" customFormat="false" ht="15" hidden="false" customHeight="false" outlineLevel="0" collapsed="false">
      <c r="A3" s="3" t="n">
        <v>10001</v>
      </c>
      <c r="B3" s="25" t="n">
        <v>1</v>
      </c>
      <c r="C3" s="18" t="n">
        <v>3</v>
      </c>
      <c r="D3" s="25" t="n">
        <v>1</v>
      </c>
      <c r="E3" s="26" t="n">
        <f aca="false">B3+C3+D3</f>
        <v>5</v>
      </c>
      <c r="F3" s="3" t="s">
        <v>30</v>
      </c>
      <c r="G3" s="8" t="s">
        <v>12</v>
      </c>
    </row>
    <row r="4" customFormat="false" ht="15" hidden="false" customHeight="false" outlineLevel="0" collapsed="false">
      <c r="A4" s="3" t="n">
        <v>10002</v>
      </c>
      <c r="B4" s="25" t="n">
        <v>1</v>
      </c>
      <c r="C4" s="26" t="n">
        <v>5</v>
      </c>
      <c r="D4" s="26" t="n">
        <v>4</v>
      </c>
      <c r="E4" s="26" t="n">
        <f aca="false">B4+C4+D4</f>
        <v>10</v>
      </c>
      <c r="F4" s="3" t="s">
        <v>31</v>
      </c>
      <c r="G4" s="6" t="s">
        <v>10</v>
      </c>
    </row>
    <row r="5" customFormat="false" ht="15" hidden="false" customHeight="false" outlineLevel="0" collapsed="false">
      <c r="A5" s="3" t="n">
        <v>10003</v>
      </c>
      <c r="B5" s="26" t="n">
        <v>5</v>
      </c>
      <c r="C5" s="26" t="n">
        <v>5</v>
      </c>
      <c r="D5" s="15" t="n">
        <v>2</v>
      </c>
      <c r="E5" s="26" t="n">
        <f aca="false">B5+C5+D5</f>
        <v>12</v>
      </c>
      <c r="F5" s="3" t="s">
        <v>32</v>
      </c>
      <c r="G5" s="7" t="s">
        <v>11</v>
      </c>
    </row>
    <row r="6" customFormat="false" ht="15" hidden="false" customHeight="false" outlineLevel="0" collapsed="false">
      <c r="A6" s="3" t="n">
        <v>10004</v>
      </c>
      <c r="B6" s="25" t="n">
        <v>1</v>
      </c>
      <c r="C6" s="26" t="n">
        <v>5</v>
      </c>
      <c r="D6" s="25" t="n">
        <v>1</v>
      </c>
      <c r="E6" s="26" t="n">
        <f aca="false">B6+C6+D6</f>
        <v>7</v>
      </c>
      <c r="F6" s="3" t="s">
        <v>33</v>
      </c>
      <c r="G6" s="9" t="s">
        <v>13</v>
      </c>
    </row>
    <row r="7" customFormat="false" ht="15" hidden="false" customHeight="false" outlineLevel="0" collapsed="false">
      <c r="A7" s="3" t="n">
        <v>10005</v>
      </c>
      <c r="B7" s="15" t="n">
        <v>2</v>
      </c>
      <c r="C7" s="25" t="n">
        <v>1</v>
      </c>
      <c r="D7" s="26" t="n">
        <v>5</v>
      </c>
      <c r="E7" s="26" t="n">
        <f aca="false">B7+C7+D7</f>
        <v>8</v>
      </c>
      <c r="F7" s="3" t="s">
        <v>33</v>
      </c>
      <c r="G7" s="9" t="s">
        <v>13</v>
      </c>
    </row>
    <row r="8" customFormat="false" ht="15" hidden="false" customHeight="false" outlineLevel="0" collapsed="false">
      <c r="A8" s="3" t="n">
        <v>10006</v>
      </c>
      <c r="B8" s="25" t="n">
        <v>1</v>
      </c>
      <c r="C8" s="15" t="n">
        <v>2</v>
      </c>
      <c r="D8" s="26" t="n">
        <v>4</v>
      </c>
      <c r="E8" s="26" t="n">
        <f aca="false">B8+C8+D8</f>
        <v>7</v>
      </c>
      <c r="F8" s="3" t="s">
        <v>33</v>
      </c>
      <c r="G8" s="9" t="s">
        <v>13</v>
      </c>
    </row>
    <row r="9" customFormat="false" ht="15" hidden="false" customHeight="false" outlineLevel="0" collapsed="false">
      <c r="A9" s="3" t="n">
        <v>10007</v>
      </c>
      <c r="B9" s="25" t="n">
        <v>1</v>
      </c>
      <c r="C9" s="26" t="n">
        <v>5</v>
      </c>
      <c r="D9" s="15" t="n">
        <v>2</v>
      </c>
      <c r="E9" s="26" t="n">
        <f aca="false">B9+C9+D9</f>
        <v>8</v>
      </c>
      <c r="F9" s="3" t="s">
        <v>33</v>
      </c>
      <c r="G9" s="9" t="s">
        <v>13</v>
      </c>
    </row>
    <row r="10" customFormat="false" ht="15" hidden="false" customHeight="false" outlineLevel="0" collapsed="false">
      <c r="A10" s="3" t="n">
        <v>10008</v>
      </c>
      <c r="B10" s="26" t="n">
        <v>5</v>
      </c>
      <c r="C10" s="26" t="n">
        <v>5</v>
      </c>
      <c r="D10" s="25" t="n">
        <v>1</v>
      </c>
      <c r="E10" s="26" t="n">
        <f aca="false">B10+C10+D10</f>
        <v>11</v>
      </c>
      <c r="F10" s="3" t="s">
        <v>31</v>
      </c>
      <c r="G10" s="6" t="s">
        <v>10</v>
      </c>
    </row>
    <row r="11" customFormat="false" ht="15" hidden="false" customHeight="false" outlineLevel="0" collapsed="false">
      <c r="A11" s="3" t="n">
        <v>10009</v>
      </c>
      <c r="B11" s="26" t="n">
        <v>5</v>
      </c>
      <c r="C11" s="25" t="n">
        <v>1</v>
      </c>
      <c r="D11" s="26" t="n">
        <v>4</v>
      </c>
      <c r="E11" s="26" t="n">
        <f aca="false">B11+C11+D11</f>
        <v>10</v>
      </c>
      <c r="F11" s="3" t="s">
        <v>31</v>
      </c>
      <c r="G11" s="6" t="s">
        <v>10</v>
      </c>
    </row>
    <row r="12" customFormat="false" ht="15" hidden="false" customHeight="false" outlineLevel="0" collapsed="false">
      <c r="A12" s="3" t="n">
        <v>10010</v>
      </c>
      <c r="B12" s="26" t="n">
        <v>5</v>
      </c>
      <c r="C12" s="26" t="n">
        <v>5</v>
      </c>
      <c r="D12" s="26" t="n">
        <v>5</v>
      </c>
      <c r="E12" s="26" t="n">
        <f aca="false">B12+C12+D12</f>
        <v>15</v>
      </c>
      <c r="F12" s="3" t="s">
        <v>32</v>
      </c>
      <c r="G12" s="7" t="s">
        <v>11</v>
      </c>
    </row>
    <row r="13" customFormat="false" ht="15" hidden="false" customHeight="false" outlineLevel="0" collapsed="false">
      <c r="A13" s="3" t="n">
        <v>10011</v>
      </c>
      <c r="B13" s="18" t="n">
        <v>3</v>
      </c>
      <c r="C13" s="18" t="n">
        <v>3</v>
      </c>
      <c r="D13" s="15" t="n">
        <v>2</v>
      </c>
      <c r="E13" s="26" t="n">
        <f aca="false">B13+C13+D13</f>
        <v>8</v>
      </c>
      <c r="F13" s="3" t="s">
        <v>33</v>
      </c>
      <c r="G13" s="9" t="s">
        <v>13</v>
      </c>
    </row>
    <row r="14" customFormat="false" ht="15" hidden="false" customHeight="false" outlineLevel="0" collapsed="false">
      <c r="A14" s="3" t="n">
        <v>10012</v>
      </c>
      <c r="B14" s="18" t="n">
        <v>3</v>
      </c>
      <c r="C14" s="15" t="n">
        <v>2</v>
      </c>
      <c r="D14" s="18" t="n">
        <v>3</v>
      </c>
      <c r="E14" s="26" t="n">
        <f aca="false">B14+C14+D14</f>
        <v>8</v>
      </c>
      <c r="F14" s="3" t="s">
        <v>33</v>
      </c>
      <c r="G14" s="9" t="s">
        <v>13</v>
      </c>
    </row>
    <row r="15" customFormat="false" ht="15" hidden="false" customHeight="false" outlineLevel="0" collapsed="false">
      <c r="A15" s="3" t="n">
        <v>10013</v>
      </c>
      <c r="B15" s="26" t="n">
        <v>4</v>
      </c>
      <c r="C15" s="15" t="n">
        <v>2</v>
      </c>
      <c r="D15" s="18" t="n">
        <v>3</v>
      </c>
      <c r="E15" s="26" t="n">
        <f aca="false">B15+C15+D15</f>
        <v>9</v>
      </c>
      <c r="F15" s="3" t="s">
        <v>31</v>
      </c>
      <c r="G15" s="6" t="s">
        <v>10</v>
      </c>
    </row>
    <row r="16" customFormat="false" ht="15" hidden="false" customHeight="false" outlineLevel="0" collapsed="false">
      <c r="A16" s="3" t="n">
        <v>10014</v>
      </c>
      <c r="B16" s="26" t="n">
        <v>4</v>
      </c>
      <c r="C16" s="18" t="n">
        <v>3</v>
      </c>
      <c r="D16" s="25" t="n">
        <v>1</v>
      </c>
      <c r="E16" s="26" t="n">
        <f aca="false">B16+C16+D16</f>
        <v>8</v>
      </c>
      <c r="F16" s="3" t="s">
        <v>33</v>
      </c>
      <c r="G16" s="9" t="s">
        <v>13</v>
      </c>
    </row>
    <row r="17" customFormat="false" ht="15" hidden="false" customHeight="false" outlineLevel="0" collapsed="false">
      <c r="A17" s="3" t="n">
        <v>10015</v>
      </c>
      <c r="B17" s="25" t="n">
        <v>1</v>
      </c>
      <c r="C17" s="26" t="n">
        <v>4</v>
      </c>
      <c r="D17" s="26" t="n">
        <v>5</v>
      </c>
      <c r="E17" s="26" t="n">
        <f aca="false">B17+C17+D17</f>
        <v>10</v>
      </c>
      <c r="F17" s="3" t="s">
        <v>31</v>
      </c>
      <c r="G17" s="6" t="s">
        <v>10</v>
      </c>
    </row>
    <row r="18" customFormat="false" ht="15" hidden="false" customHeight="false" outlineLevel="0" collapsed="false">
      <c r="A18" s="3" t="n">
        <v>10016</v>
      </c>
      <c r="B18" s="26" t="n">
        <v>5</v>
      </c>
      <c r="C18" s="25" t="n">
        <v>1</v>
      </c>
      <c r="D18" s="25" t="n">
        <v>1</v>
      </c>
      <c r="E18" s="26" t="n">
        <f aca="false">B18+C18+D18</f>
        <v>7</v>
      </c>
      <c r="F18" s="3" t="s">
        <v>33</v>
      </c>
      <c r="G18" s="9" t="s">
        <v>13</v>
      </c>
    </row>
    <row r="19" customFormat="false" ht="15" hidden="false" customHeight="false" outlineLevel="0" collapsed="false">
      <c r="A19" s="3" t="n">
        <v>10017</v>
      </c>
      <c r="B19" s="26" t="n">
        <v>5</v>
      </c>
      <c r="C19" s="15" t="n">
        <v>2</v>
      </c>
      <c r="D19" s="26" t="n">
        <v>5</v>
      </c>
      <c r="E19" s="26" t="n">
        <f aca="false">B19+C19+D19</f>
        <v>12</v>
      </c>
      <c r="F19" s="3" t="s">
        <v>32</v>
      </c>
      <c r="G19" s="7" t="s">
        <v>11</v>
      </c>
    </row>
    <row r="20" customFormat="false" ht="15" hidden="false" customHeight="false" outlineLevel="0" collapsed="false">
      <c r="A20" s="3" t="n">
        <v>10018</v>
      </c>
      <c r="B20" s="18" t="n">
        <v>3</v>
      </c>
      <c r="C20" s="15" t="n">
        <v>2</v>
      </c>
      <c r="D20" s="18" t="n">
        <v>3</v>
      </c>
      <c r="E20" s="26" t="n">
        <f aca="false">B20+C20+D20</f>
        <v>8</v>
      </c>
      <c r="F20" s="3" t="s">
        <v>33</v>
      </c>
      <c r="G20" s="9" t="s">
        <v>13</v>
      </c>
    </row>
    <row r="21" customFormat="false" ht="15" hidden="false" customHeight="false" outlineLevel="0" collapsed="false">
      <c r="A21" s="3" t="n">
        <v>10019</v>
      </c>
      <c r="B21" s="25" t="n">
        <v>1</v>
      </c>
      <c r="C21" s="15" t="n">
        <v>2</v>
      </c>
      <c r="D21" s="18" t="n">
        <v>3</v>
      </c>
      <c r="E21" s="26" t="n">
        <f aca="false">B21+C21+D21</f>
        <v>6</v>
      </c>
      <c r="F21" s="3" t="s">
        <v>33</v>
      </c>
      <c r="G21" s="9" t="s">
        <v>13</v>
      </c>
    </row>
    <row r="22" customFormat="false" ht="15" hidden="false" customHeight="false" outlineLevel="0" collapsed="false">
      <c r="A22" s="3" t="n">
        <v>10020</v>
      </c>
      <c r="B22" s="18" t="n">
        <v>3</v>
      </c>
      <c r="C22" s="15" t="n">
        <v>2</v>
      </c>
      <c r="D22" s="26" t="n">
        <v>4</v>
      </c>
      <c r="E22" s="26" t="n">
        <f aca="false">B22+C22+D22</f>
        <v>9</v>
      </c>
      <c r="F22" s="3" t="s">
        <v>31</v>
      </c>
      <c r="G22" s="6" t="s">
        <v>10</v>
      </c>
    </row>
    <row r="23" customFormat="false" ht="15" hidden="false" customHeight="false" outlineLevel="0" collapsed="false">
      <c r="A23" s="3" t="n">
        <v>10021</v>
      </c>
      <c r="B23" s="26" t="n">
        <v>5</v>
      </c>
      <c r="C23" s="18" t="n">
        <v>3</v>
      </c>
      <c r="D23" s="26" t="n">
        <v>5</v>
      </c>
      <c r="E23" s="26" t="n">
        <f aca="false">B23+C23+D23</f>
        <v>13</v>
      </c>
      <c r="F23" s="3" t="s">
        <v>32</v>
      </c>
      <c r="G23" s="7" t="s">
        <v>11</v>
      </c>
    </row>
    <row r="24" customFormat="false" ht="15" hidden="false" customHeight="false" outlineLevel="0" collapsed="false">
      <c r="A24" s="3" t="n">
        <v>10022</v>
      </c>
      <c r="B24" s="26" t="n">
        <v>5</v>
      </c>
      <c r="C24" s="25" t="n">
        <v>1</v>
      </c>
      <c r="D24" s="26" t="n">
        <v>5</v>
      </c>
      <c r="E24" s="26" t="n">
        <f aca="false">B24+C24+D24</f>
        <v>11</v>
      </c>
      <c r="F24" s="3" t="s">
        <v>31</v>
      </c>
      <c r="G24" s="6" t="s">
        <v>10</v>
      </c>
    </row>
    <row r="25" customFormat="false" ht="15" hidden="false" customHeight="false" outlineLevel="0" collapsed="false">
      <c r="A25" s="3" t="n">
        <v>10023</v>
      </c>
      <c r="B25" s="18" t="n">
        <v>3</v>
      </c>
      <c r="C25" s="25" t="n">
        <v>1</v>
      </c>
      <c r="D25" s="15" t="n">
        <v>2</v>
      </c>
      <c r="E25" s="26" t="n">
        <f aca="false">B25+C25+D25</f>
        <v>6</v>
      </c>
      <c r="F25" s="3" t="s">
        <v>33</v>
      </c>
      <c r="G25" s="9" t="s">
        <v>13</v>
      </c>
    </row>
    <row r="26" customFormat="false" ht="15" hidden="false" customHeight="false" outlineLevel="0" collapsed="false">
      <c r="A26" s="3" t="n">
        <v>10024</v>
      </c>
      <c r="B26" s="18" t="n">
        <v>3</v>
      </c>
      <c r="C26" s="25" t="n">
        <v>1</v>
      </c>
      <c r="D26" s="25" t="n">
        <v>1</v>
      </c>
      <c r="E26" s="26" t="n">
        <f aca="false">B26+C26+D26</f>
        <v>5</v>
      </c>
      <c r="F26" s="3" t="s">
        <v>30</v>
      </c>
      <c r="G26" s="8" t="s">
        <v>12</v>
      </c>
    </row>
    <row r="27" customFormat="false" ht="15" hidden="false" customHeight="false" outlineLevel="0" collapsed="false">
      <c r="A27" s="3" t="n">
        <v>10025</v>
      </c>
      <c r="B27" s="26" t="n">
        <v>5</v>
      </c>
      <c r="C27" s="15" t="n">
        <v>2</v>
      </c>
      <c r="D27" s="18" t="n">
        <v>3</v>
      </c>
      <c r="E27" s="26" t="n">
        <f aca="false">B27+C27+D27</f>
        <v>10</v>
      </c>
      <c r="F27" s="3" t="s">
        <v>31</v>
      </c>
      <c r="G27" s="6" t="s">
        <v>10</v>
      </c>
    </row>
    <row r="28" customFormat="false" ht="15" hidden="false" customHeight="false" outlineLevel="0" collapsed="false">
      <c r="A28" s="3" t="n">
        <v>10026</v>
      </c>
      <c r="B28" s="18" t="n">
        <v>3</v>
      </c>
      <c r="C28" s="26" t="n">
        <v>5</v>
      </c>
      <c r="D28" s="15" t="n">
        <v>2</v>
      </c>
      <c r="E28" s="26" t="n">
        <f aca="false">B28+C28+D28</f>
        <v>10</v>
      </c>
      <c r="F28" s="3" t="s">
        <v>31</v>
      </c>
      <c r="G28" s="6" t="s">
        <v>10</v>
      </c>
    </row>
    <row r="29" customFormat="false" ht="15" hidden="false" customHeight="false" outlineLevel="0" collapsed="false">
      <c r="A29" s="3" t="n">
        <v>10027</v>
      </c>
      <c r="B29" s="18" t="n">
        <v>3</v>
      </c>
      <c r="C29" s="15" t="n">
        <v>2</v>
      </c>
      <c r="D29" s="18" t="n">
        <v>3</v>
      </c>
      <c r="E29" s="26" t="n">
        <f aca="false">B29+C29+D29</f>
        <v>8</v>
      </c>
      <c r="F29" s="3" t="s">
        <v>33</v>
      </c>
      <c r="G29" s="9" t="s">
        <v>13</v>
      </c>
    </row>
    <row r="30" customFormat="false" ht="15" hidden="false" customHeight="false" outlineLevel="0" collapsed="false">
      <c r="A30" s="3" t="n">
        <v>10028</v>
      </c>
      <c r="B30" s="26" t="n">
        <v>5</v>
      </c>
      <c r="C30" s="26" t="n">
        <v>4</v>
      </c>
      <c r="D30" s="18" t="n">
        <v>3</v>
      </c>
      <c r="E30" s="26" t="n">
        <f aca="false">B30+C30+D30</f>
        <v>12</v>
      </c>
      <c r="F30" s="3" t="s">
        <v>32</v>
      </c>
      <c r="G30" s="7" t="s">
        <v>11</v>
      </c>
    </row>
    <row r="31" customFormat="false" ht="15" hidden="false" customHeight="false" outlineLevel="0" collapsed="false">
      <c r="A31" s="3" t="n">
        <v>10029</v>
      </c>
      <c r="B31" s="25" t="n">
        <v>1</v>
      </c>
      <c r="C31" s="25" t="n">
        <v>1</v>
      </c>
      <c r="D31" s="26" t="n">
        <v>4</v>
      </c>
      <c r="E31" s="26" t="n">
        <f aca="false">B31+C31+D31</f>
        <v>6</v>
      </c>
      <c r="F31" s="3" t="s">
        <v>33</v>
      </c>
      <c r="G31" s="9" t="s">
        <v>13</v>
      </c>
    </row>
    <row r="32" customFormat="false" ht="15" hidden="false" customHeight="false" outlineLevel="0" collapsed="false">
      <c r="A32" s="3" t="n">
        <v>10030</v>
      </c>
      <c r="B32" s="18" t="n">
        <v>3</v>
      </c>
      <c r="C32" s="25" t="n">
        <v>1</v>
      </c>
      <c r="D32" s="25" t="n">
        <v>1</v>
      </c>
      <c r="E32" s="26" t="n">
        <f aca="false">B32+C32+D32</f>
        <v>5</v>
      </c>
      <c r="F32" s="3" t="s">
        <v>30</v>
      </c>
      <c r="G32" s="8" t="s">
        <v>12</v>
      </c>
    </row>
    <row r="33" customFormat="false" ht="15" hidden="false" customHeight="false" outlineLevel="0" collapsed="false">
      <c r="A33" s="3" t="n">
        <v>10031</v>
      </c>
      <c r="B33" s="18" t="n">
        <v>3</v>
      </c>
      <c r="C33" s="15" t="n">
        <v>2</v>
      </c>
      <c r="D33" s="18" t="n">
        <v>3</v>
      </c>
      <c r="E33" s="26" t="n">
        <f aca="false">B33+C33+D33</f>
        <v>8</v>
      </c>
      <c r="F33" s="3" t="s">
        <v>33</v>
      </c>
      <c r="G33" s="9" t="s">
        <v>13</v>
      </c>
    </row>
    <row r="34" customFormat="false" ht="15" hidden="false" customHeight="false" outlineLevel="0" collapsed="false">
      <c r="A34" s="3" t="n">
        <v>10032</v>
      </c>
      <c r="B34" s="15" t="n">
        <v>2</v>
      </c>
      <c r="C34" s="26" t="n">
        <v>4</v>
      </c>
      <c r="D34" s="26" t="n">
        <v>5</v>
      </c>
      <c r="E34" s="26" t="n">
        <f aca="false">B34+C34+D34</f>
        <v>11</v>
      </c>
      <c r="F34" s="3" t="s">
        <v>31</v>
      </c>
      <c r="G34" s="6" t="s">
        <v>10</v>
      </c>
    </row>
    <row r="35" customFormat="false" ht="15" hidden="false" customHeight="false" outlineLevel="0" collapsed="false">
      <c r="A35" s="3" t="n">
        <v>10033</v>
      </c>
      <c r="B35" s="26" t="n">
        <v>4</v>
      </c>
      <c r="C35" s="26" t="n">
        <v>5</v>
      </c>
      <c r="D35" s="25" t="n">
        <v>1</v>
      </c>
      <c r="E35" s="26" t="n">
        <f aca="false">B35+C35+D35</f>
        <v>10</v>
      </c>
      <c r="F35" s="3" t="s">
        <v>31</v>
      </c>
      <c r="G35" s="6" t="s">
        <v>10</v>
      </c>
    </row>
    <row r="36" customFormat="false" ht="15" hidden="false" customHeight="false" outlineLevel="0" collapsed="false">
      <c r="A36" s="3" t="n">
        <v>10034</v>
      </c>
      <c r="B36" s="25" t="n">
        <v>1</v>
      </c>
      <c r="C36" s="25" t="n">
        <v>1</v>
      </c>
      <c r="D36" s="15" t="n">
        <v>2</v>
      </c>
      <c r="E36" s="26" t="n">
        <f aca="false">B36+C36+D36</f>
        <v>4</v>
      </c>
      <c r="F36" s="3" t="s">
        <v>30</v>
      </c>
      <c r="G36" s="8" t="s">
        <v>12</v>
      </c>
    </row>
    <row r="37" customFormat="false" ht="15" hidden="false" customHeight="false" outlineLevel="0" collapsed="false">
      <c r="A37" s="3" t="n">
        <v>10035</v>
      </c>
      <c r="B37" s="26" t="n">
        <v>5</v>
      </c>
      <c r="C37" s="25" t="n">
        <v>1</v>
      </c>
      <c r="D37" s="18" t="n">
        <v>3</v>
      </c>
      <c r="E37" s="26" t="n">
        <f aca="false">B37+C37+D37</f>
        <v>9</v>
      </c>
      <c r="F37" s="3" t="s">
        <v>31</v>
      </c>
      <c r="G37" s="6" t="s">
        <v>10</v>
      </c>
    </row>
    <row r="38" customFormat="false" ht="15" hidden="false" customHeight="false" outlineLevel="0" collapsed="false">
      <c r="A38" s="3" t="n">
        <v>10036</v>
      </c>
      <c r="B38" s="26" t="n">
        <v>5</v>
      </c>
      <c r="C38" s="26" t="n">
        <v>5</v>
      </c>
      <c r="D38" s="15" t="n">
        <v>2</v>
      </c>
      <c r="E38" s="26" t="n">
        <f aca="false">B38+C38+D38</f>
        <v>12</v>
      </c>
      <c r="F38" s="3" t="s">
        <v>32</v>
      </c>
      <c r="G38" s="7" t="s">
        <v>11</v>
      </c>
    </row>
    <row r="39" customFormat="false" ht="15" hidden="false" customHeight="false" outlineLevel="0" collapsed="false">
      <c r="A39" s="3" t="n">
        <v>10037</v>
      </c>
      <c r="B39" s="26" t="n">
        <v>4</v>
      </c>
      <c r="C39" s="15" t="n">
        <v>2</v>
      </c>
      <c r="D39" s="25" t="n">
        <v>1</v>
      </c>
      <c r="E39" s="26" t="n">
        <f aca="false">B39+C39+D39</f>
        <v>7</v>
      </c>
      <c r="F39" s="3" t="s">
        <v>33</v>
      </c>
      <c r="G39" s="9" t="s">
        <v>13</v>
      </c>
    </row>
    <row r="40" customFormat="false" ht="15" hidden="false" customHeight="false" outlineLevel="0" collapsed="false">
      <c r="A40" s="3" t="n">
        <v>10038</v>
      </c>
      <c r="B40" s="18" t="n">
        <v>3</v>
      </c>
      <c r="C40" s="18" t="n">
        <v>3</v>
      </c>
      <c r="D40" s="25" t="n">
        <v>1</v>
      </c>
      <c r="E40" s="26" t="n">
        <f aca="false">B40+C40+D40</f>
        <v>7</v>
      </c>
      <c r="F40" s="3" t="s">
        <v>33</v>
      </c>
      <c r="G40" s="9" t="s">
        <v>13</v>
      </c>
    </row>
    <row r="41" customFormat="false" ht="15" hidden="false" customHeight="false" outlineLevel="0" collapsed="false">
      <c r="A41" s="3" t="n">
        <v>10039</v>
      </c>
      <c r="B41" s="18" t="n">
        <v>3</v>
      </c>
      <c r="C41" s="15" t="n">
        <v>2</v>
      </c>
      <c r="D41" s="15" t="n">
        <v>2</v>
      </c>
      <c r="E41" s="26" t="n">
        <f aca="false">B41+C41+D41</f>
        <v>7</v>
      </c>
      <c r="F41" s="3" t="s">
        <v>33</v>
      </c>
      <c r="G41" s="9" t="s">
        <v>13</v>
      </c>
    </row>
    <row r="42" customFormat="false" ht="15" hidden="false" customHeight="false" outlineLevel="0" collapsed="false">
      <c r="A42" s="3" t="n">
        <v>10040</v>
      </c>
      <c r="B42" s="25" t="n">
        <v>1</v>
      </c>
      <c r="C42" s="18" t="n">
        <v>3</v>
      </c>
      <c r="D42" s="26" t="n">
        <v>5</v>
      </c>
      <c r="E42" s="26" t="n">
        <f aca="false">B42+C42+D42</f>
        <v>9</v>
      </c>
      <c r="F42" s="3" t="s">
        <v>31</v>
      </c>
      <c r="G42" s="6" t="s">
        <v>10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E396"/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  <col collapsed="false" customWidth="true" hidden="false" outlineLevel="0" max="4" min="4" style="0" width="22"/>
  </cols>
  <sheetData>
    <row r="1" customFormat="false" ht="31.5" hidden="false" customHeight="true" outlineLevel="0" collapsed="false">
      <c r="A1" s="13" t="s">
        <v>34</v>
      </c>
      <c r="B1" s="13"/>
      <c r="C1" s="13"/>
      <c r="D1" s="13"/>
    </row>
    <row r="3" customFormat="false" ht="15" hidden="false" customHeight="true" outlineLevel="0" collapsed="false">
      <c r="A3" s="27" t="s">
        <v>35</v>
      </c>
      <c r="B3" s="27"/>
      <c r="C3" s="27"/>
      <c r="D3" s="27"/>
    </row>
    <row r="4" customFormat="false" ht="15" hidden="false" customHeight="false" outlineLevel="0" collapsed="false">
      <c r="A4" s="24" t="s">
        <v>36</v>
      </c>
      <c r="B4" s="24" t="s">
        <v>37</v>
      </c>
      <c r="C4" s="24" t="s">
        <v>38</v>
      </c>
      <c r="D4" s="24" t="s">
        <v>39</v>
      </c>
    </row>
    <row r="5" customFormat="false" ht="15" hidden="false" customHeight="false" outlineLevel="0" collapsed="false">
      <c r="A5" s="28" t="s">
        <v>40</v>
      </c>
      <c r="B5" s="17" t="s">
        <v>41</v>
      </c>
      <c r="C5" s="3" t="s">
        <v>42</v>
      </c>
      <c r="D5" s="29" t="s">
        <v>43</v>
      </c>
    </row>
    <row r="6" customFormat="false" ht="15" hidden="false" customHeight="false" outlineLevel="0" collapsed="false">
      <c r="A6" s="28" t="s">
        <v>44</v>
      </c>
      <c r="B6" s="17" t="s">
        <v>45</v>
      </c>
      <c r="C6" s="3" t="s">
        <v>46</v>
      </c>
      <c r="D6" s="29" t="s">
        <v>43</v>
      </c>
    </row>
    <row r="7" customFormat="false" ht="15" hidden="false" customHeight="false" outlineLevel="0" collapsed="false">
      <c r="A7" s="28" t="s">
        <v>47</v>
      </c>
      <c r="B7" s="17" t="s">
        <v>48</v>
      </c>
      <c r="C7" s="3" t="s">
        <v>49</v>
      </c>
      <c r="D7" s="29" t="s">
        <v>43</v>
      </c>
    </row>
    <row r="8" customFormat="false" ht="15" hidden="false" customHeight="false" outlineLevel="0" collapsed="false">
      <c r="A8" s="28" t="s">
        <v>50</v>
      </c>
      <c r="B8" s="17" t="s">
        <v>51</v>
      </c>
      <c r="C8" s="3" t="s">
        <v>52</v>
      </c>
      <c r="D8" s="29" t="s">
        <v>43</v>
      </c>
    </row>
    <row r="9" customFormat="false" ht="15" hidden="false" customHeight="false" outlineLevel="0" collapsed="false">
      <c r="A9" s="28" t="s">
        <v>53</v>
      </c>
      <c r="B9" s="17" t="s">
        <v>54</v>
      </c>
      <c r="C9" s="3" t="s">
        <v>55</v>
      </c>
      <c r="D9" s="29" t="s">
        <v>43</v>
      </c>
    </row>
    <row r="11" customFormat="false" ht="15" hidden="false" customHeight="true" outlineLevel="0" collapsed="false">
      <c r="A11" s="27" t="s">
        <v>56</v>
      </c>
      <c r="B11" s="27"/>
      <c r="C11" s="27"/>
      <c r="D11" s="27"/>
    </row>
    <row r="12" customFormat="false" ht="15" hidden="false" customHeight="false" outlineLevel="0" collapsed="false">
      <c r="A12" s="24" t="s">
        <v>57</v>
      </c>
      <c r="B12" s="24" t="s">
        <v>58</v>
      </c>
      <c r="C12" s="24" t="s">
        <v>59</v>
      </c>
      <c r="D12" s="24" t="s">
        <v>60</v>
      </c>
    </row>
    <row r="13" customFormat="false" ht="23.85" hidden="false" customHeight="false" outlineLevel="0" collapsed="false">
      <c r="A13" s="28" t="s">
        <v>61</v>
      </c>
      <c r="B13" s="26" t="s">
        <v>62</v>
      </c>
      <c r="C13" s="7" t="s">
        <v>63</v>
      </c>
      <c r="D13" s="30" t="s">
        <v>64</v>
      </c>
    </row>
    <row r="14" customFormat="false" ht="23.85" hidden="false" customHeight="false" outlineLevel="0" collapsed="false">
      <c r="A14" s="28" t="s">
        <v>2</v>
      </c>
      <c r="B14" s="26" t="s">
        <v>65</v>
      </c>
      <c r="C14" s="7" t="s">
        <v>66</v>
      </c>
      <c r="D14" s="30" t="s">
        <v>67</v>
      </c>
    </row>
    <row r="15" customFormat="false" ht="15" hidden="false" customHeight="false" outlineLevel="0" collapsed="false">
      <c r="A15" s="28" t="s">
        <v>3</v>
      </c>
      <c r="B15" s="26" t="s">
        <v>68</v>
      </c>
      <c r="C15" s="7" t="s">
        <v>69</v>
      </c>
      <c r="D15" s="30" t="s">
        <v>70</v>
      </c>
    </row>
    <row r="16" customFormat="false" ht="23.85" hidden="false" customHeight="false" outlineLevel="0" collapsed="false">
      <c r="A16" s="28" t="s">
        <v>71</v>
      </c>
      <c r="B16" s="26" t="s">
        <v>72</v>
      </c>
      <c r="C16" s="7" t="s">
        <v>73</v>
      </c>
      <c r="D16" s="30" t="s">
        <v>74</v>
      </c>
    </row>
    <row r="17" customFormat="false" ht="23.85" hidden="false" customHeight="false" outlineLevel="0" collapsed="false">
      <c r="A17" s="28" t="s">
        <v>75</v>
      </c>
      <c r="B17" s="26" t="s">
        <v>76</v>
      </c>
      <c r="C17" s="7" t="s">
        <v>77</v>
      </c>
      <c r="D17" s="30" t="s">
        <v>78</v>
      </c>
    </row>
    <row r="18" customFormat="false" ht="23.85" hidden="false" customHeight="false" outlineLevel="0" collapsed="false">
      <c r="A18" s="28" t="s">
        <v>79</v>
      </c>
      <c r="B18" s="26" t="s">
        <v>80</v>
      </c>
      <c r="C18" s="7" t="s">
        <v>81</v>
      </c>
      <c r="D18" s="30" t="s">
        <v>82</v>
      </c>
    </row>
  </sheetData>
  <mergeCells count="3">
    <mergeCell ref="A1:D1"/>
    <mergeCell ref="A3:D3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2026-06-27T12:25:46Z</dcterms:created>
  <dc:creator>openpyxl</dc:creator>
  <dc:description/>
  <dc:language>en-US</dc:language>
  <cp:lastModifiedBy/>
  <dcterms:modified xsi:type="dcterms:W3CDTF">2026-06-27T12:25:54Z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